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hir\Downloads\"/>
    </mc:Choice>
  </mc:AlternateContent>
  <xr:revisionPtr revIDLastSave="0" documentId="13_ncr:1_{DA08831A-C0BC-44E7-A458-0059650C5E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4" i="1" l="1"/>
  <c r="B73" i="1"/>
  <c r="B72" i="1"/>
  <c r="B71" i="1"/>
  <c r="B70" i="1"/>
  <c r="B69" i="1"/>
  <c r="B64" i="1"/>
  <c r="B63" i="1"/>
  <c r="B62" i="1"/>
  <c r="B61" i="1"/>
  <c r="B60" i="1"/>
  <c r="B59" i="1"/>
  <c r="B58" i="1"/>
  <c r="B57" i="1"/>
  <c r="B56" i="1"/>
  <c r="B55" i="1"/>
  <c r="B54" i="1"/>
  <c r="B53" i="1"/>
  <c r="B51" i="1"/>
  <c r="B50" i="1"/>
  <c r="K44" i="1"/>
  <c r="J44" i="1"/>
  <c r="I44" i="1"/>
  <c r="H44" i="1"/>
  <c r="K43" i="1"/>
  <c r="J43" i="1"/>
  <c r="I43" i="1"/>
  <c r="H43" i="1"/>
  <c r="K42" i="1"/>
  <c r="J42" i="1"/>
  <c r="I42" i="1"/>
  <c r="H42" i="1"/>
  <c r="K41" i="1"/>
  <c r="J41" i="1"/>
  <c r="I41" i="1"/>
  <c r="H41" i="1"/>
  <c r="K40" i="1"/>
  <c r="J40" i="1"/>
  <c r="I40" i="1"/>
  <c r="H40" i="1"/>
  <c r="K39" i="1"/>
  <c r="J39" i="1"/>
  <c r="I39" i="1"/>
  <c r="H39" i="1"/>
  <c r="K38" i="1"/>
  <c r="J38" i="1"/>
  <c r="I38" i="1"/>
  <c r="H38" i="1"/>
  <c r="K37" i="1"/>
  <c r="J37" i="1"/>
  <c r="I37" i="1"/>
  <c r="H37" i="1"/>
  <c r="K36" i="1"/>
  <c r="J36" i="1"/>
  <c r="I36" i="1"/>
  <c r="H36" i="1"/>
  <c r="K35" i="1"/>
  <c r="J35" i="1"/>
  <c r="I35" i="1"/>
  <c r="H35" i="1"/>
  <c r="K34" i="1"/>
  <c r="J34" i="1"/>
  <c r="I34" i="1"/>
  <c r="H34" i="1"/>
  <c r="K33" i="1"/>
  <c r="J33" i="1"/>
  <c r="I33" i="1"/>
  <c r="H33" i="1"/>
  <c r="K32" i="1"/>
  <c r="J32" i="1"/>
  <c r="I32" i="1"/>
  <c r="H32" i="1"/>
  <c r="K31" i="1"/>
  <c r="J31" i="1"/>
  <c r="I31" i="1"/>
  <c r="H31" i="1"/>
  <c r="K30" i="1"/>
  <c r="J30" i="1"/>
  <c r="I30" i="1"/>
  <c r="H30" i="1"/>
  <c r="K29" i="1"/>
  <c r="J29" i="1"/>
  <c r="I29" i="1"/>
  <c r="H29" i="1"/>
  <c r="K28" i="1"/>
  <c r="J28" i="1"/>
  <c r="I28" i="1"/>
  <c r="H28" i="1"/>
  <c r="K27" i="1"/>
  <c r="J27" i="1"/>
  <c r="I27" i="1"/>
  <c r="H27" i="1"/>
  <c r="K26" i="1"/>
  <c r="J26" i="1"/>
  <c r="I26" i="1"/>
  <c r="H26" i="1"/>
  <c r="K25" i="1"/>
  <c r="J25" i="1"/>
  <c r="I25" i="1"/>
  <c r="H25" i="1"/>
  <c r="J24" i="1"/>
  <c r="I24" i="1"/>
  <c r="G24" i="1"/>
  <c r="K23" i="1"/>
  <c r="J23" i="1"/>
  <c r="I23" i="1"/>
  <c r="H23" i="1"/>
  <c r="K22" i="1"/>
  <c r="J22" i="1"/>
  <c r="I22" i="1"/>
  <c r="H22" i="1"/>
  <c r="K21" i="1"/>
  <c r="J21" i="1"/>
  <c r="I21" i="1"/>
  <c r="H21" i="1"/>
  <c r="K20" i="1"/>
  <c r="J20" i="1"/>
  <c r="I20" i="1"/>
  <c r="H20" i="1"/>
  <c r="K19" i="1"/>
  <c r="J19" i="1"/>
  <c r="I19" i="1"/>
  <c r="H19" i="1"/>
  <c r="K18" i="1"/>
  <c r="J18" i="1"/>
  <c r="I18" i="1"/>
  <c r="H18" i="1"/>
  <c r="J17" i="1"/>
  <c r="I17" i="1"/>
  <c r="G17" i="1"/>
  <c r="K16" i="1"/>
  <c r="J16" i="1"/>
  <c r="I16" i="1"/>
  <c r="H16" i="1"/>
  <c r="K15" i="1"/>
  <c r="J15" i="1"/>
  <c r="I15" i="1"/>
  <c r="H15" i="1"/>
  <c r="K14" i="1"/>
  <c r="J14" i="1"/>
  <c r="I14" i="1"/>
  <c r="H14" i="1"/>
  <c r="K13" i="1"/>
  <c r="J13" i="1"/>
  <c r="I13" i="1"/>
  <c r="H13" i="1"/>
  <c r="K12" i="1"/>
  <c r="J12" i="1"/>
  <c r="I12" i="1"/>
  <c r="H12" i="1"/>
  <c r="K11" i="1"/>
  <c r="J11" i="1"/>
  <c r="I11" i="1"/>
  <c r="H11" i="1"/>
  <c r="K10" i="1"/>
  <c r="J10" i="1"/>
  <c r="I10" i="1"/>
  <c r="H10" i="1"/>
  <c r="K9" i="1"/>
  <c r="J9" i="1"/>
  <c r="I9" i="1"/>
  <c r="H9" i="1"/>
  <c r="K8" i="1"/>
  <c r="J8" i="1"/>
  <c r="I8" i="1"/>
  <c r="H8" i="1"/>
  <c r="K7" i="1"/>
  <c r="J7" i="1"/>
  <c r="I7" i="1"/>
  <c r="H7" i="1"/>
  <c r="K6" i="1"/>
  <c r="J6" i="1"/>
  <c r="I6" i="1"/>
  <c r="H6" i="1"/>
  <c r="G6" i="1"/>
  <c r="K5" i="1"/>
  <c r="J5" i="1"/>
  <c r="I5" i="1"/>
  <c r="H5" i="1"/>
  <c r="K4" i="1"/>
  <c r="J4" i="1"/>
  <c r="I4" i="1"/>
  <c r="H4" i="1"/>
  <c r="K3" i="1"/>
  <c r="J3" i="1"/>
  <c r="I3" i="1"/>
  <c r="H3" i="1"/>
  <c r="K2" i="1"/>
  <c r="J2" i="1"/>
  <c r="I2" i="1"/>
  <c r="H2" i="1"/>
  <c r="H24" i="1" l="1"/>
  <c r="K24" i="1"/>
  <c r="K17" i="1"/>
  <c r="H17" i="1"/>
</calcChain>
</file>

<file path=xl/sharedStrings.xml><?xml version="1.0" encoding="utf-8"?>
<sst xmlns="http://schemas.openxmlformats.org/spreadsheetml/2006/main" count="147" uniqueCount="34">
  <si>
    <t>OrderDate</t>
  </si>
  <si>
    <t>Region</t>
  </si>
  <si>
    <t>Rep</t>
  </si>
  <si>
    <t>Item</t>
  </si>
  <si>
    <t>Units</t>
  </si>
  <si>
    <t>Unit Cost</t>
  </si>
  <si>
    <t>Total</t>
  </si>
  <si>
    <t>Order Size</t>
  </si>
  <si>
    <t>order size units</t>
  </si>
  <si>
    <t>rep signature</t>
  </si>
  <si>
    <t>TAX</t>
  </si>
  <si>
    <t>East</t>
  </si>
  <si>
    <t>Jones</t>
  </si>
  <si>
    <t>Pencil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</si>
  <si>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</si>
  <si>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</si>
  <si>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</si>
  <si>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</si>
  <si>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</si>
  <si>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</si>
  <si>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</si>
  <si>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</si>
  <si>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</si>
  <si>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</si>
  <si>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</si>
  <si>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</si>
  <si>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</si>
  <si>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</si>
  <si>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</si>
  <si>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</si>
  <si>
    <t>QUESTION</t>
  </si>
  <si>
    <t>ANS</t>
  </si>
  <si>
    <t>DONE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</si>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</sst>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0_);\(0.00\)"/>
  </numFmts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4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164" fontId="4" fillId="0" borderId="0" xfId="0" applyNumberFormat="1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165" fontId="4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75"/>
  <sheetViews>
    <sheetView tabSelected="1" topLeftCell="A2" workbookViewId="0">
      <selection activeCell="K1" sqref="K1"/>
    </sheetView>
  </sheetViews>
  <sheetFormatPr defaultColWidth="12.6640625" defaultRowHeight="15.75" customHeight="1" x14ac:dyDescent="0.25"/>
  <sheetData>
    <row r="1" spans="1:11" ht="15.75" customHeigh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 ht="15.75" customHeight="1" x14ac:dyDescent="0.35">
      <c r="A2" s="6">
        <v>46028</v>
      </c>
      <c r="B2" s="7" t="s">
        <v>11</v>
      </c>
      <c r="C2" s="7" t="s">
        <v>12</v>
      </c>
      <c r="D2" s="7" t="s">
        <v>13</v>
      </c>
      <c r="E2" s="8">
        <v>95</v>
      </c>
      <c r="F2" s="9">
        <v>1.99</v>
      </c>
      <c r="G2" s="9">
        <v>189.05</v>
      </c>
      <c r="H2" s="5" t="str">
        <f t="shared" ref="H2:H44" si="0">IF(G2&gt;500,"High Value","Standard")</f>
        <v>Standard</v>
      </c>
      <c r="I2" s="5" t="e">
        <f t="shared" ref="I2:I44" ca="1" si="1">_xludf.IFS(E2&gt;75,"Bulk",75&gt;E2&gt;30,"Medium",E2&lt;30,"Small")</f>
        <v>#NAME?</v>
      </c>
      <c r="J2" s="5" t="str">
        <f t="shared" ref="J2:J44" si="2">CONCATENATE(C2,"(",B2,")")</f>
        <v>Jones(East)</v>
      </c>
      <c r="K2" s="5">
        <f t="shared" ref="K2:K44" si="3">G2*10%</f>
        <v>18.905000000000001</v>
      </c>
    </row>
    <row r="3" spans="1:11" ht="15.75" customHeight="1" x14ac:dyDescent="0.35">
      <c r="A3" s="6">
        <v>46045</v>
      </c>
      <c r="B3" s="7" t="s">
        <v>14</v>
      </c>
      <c r="C3" s="7" t="s">
        <v>15</v>
      </c>
      <c r="D3" s="7" t="s">
        <v>16</v>
      </c>
      <c r="E3" s="8">
        <v>50</v>
      </c>
      <c r="F3" s="9">
        <v>19.989999999999998</v>
      </c>
      <c r="G3" s="9">
        <v>999.49999999999989</v>
      </c>
      <c r="H3" s="5" t="str">
        <f t="shared" si="0"/>
        <v>High Value</v>
      </c>
      <c r="I3" s="5" t="e">
        <f t="shared" ca="1" si="1"/>
        <v>#NAME?</v>
      </c>
      <c r="J3" s="5" t="str">
        <f t="shared" si="2"/>
        <v>Kivell(Central)</v>
      </c>
      <c r="K3" s="5">
        <f t="shared" si="3"/>
        <v>99.949999999999989</v>
      </c>
    </row>
    <row r="4" spans="1:11" ht="15.75" customHeight="1" x14ac:dyDescent="0.35">
      <c r="A4" s="6">
        <v>46062</v>
      </c>
      <c r="B4" s="7" t="s">
        <v>14</v>
      </c>
      <c r="C4" s="7" t="s">
        <v>17</v>
      </c>
      <c r="D4" s="7" t="s">
        <v>13</v>
      </c>
      <c r="E4" s="8">
        <v>36</v>
      </c>
      <c r="F4" s="9">
        <v>4.99</v>
      </c>
      <c r="G4" s="9">
        <v>179.64000000000001</v>
      </c>
      <c r="H4" s="5" t="str">
        <f t="shared" si="0"/>
        <v>Standard</v>
      </c>
      <c r="I4" s="5" t="e">
        <f t="shared" ca="1" si="1"/>
        <v>#NAME?</v>
      </c>
      <c r="J4" s="5" t="str">
        <f t="shared" si="2"/>
        <v>Jardine(Central)</v>
      </c>
      <c r="K4" s="5">
        <f t="shared" si="3"/>
        <v>17.964000000000002</v>
      </c>
    </row>
    <row r="5" spans="1:11" ht="15.75" customHeight="1" x14ac:dyDescent="0.35">
      <c r="A5" s="6">
        <v>46079</v>
      </c>
      <c r="B5" s="7" t="s">
        <v>14</v>
      </c>
      <c r="C5" s="7" t="s">
        <v>18</v>
      </c>
      <c r="D5" s="7" t="s">
        <v>19</v>
      </c>
      <c r="E5" s="8">
        <v>27</v>
      </c>
      <c r="F5" s="9">
        <v>19.989999999999998</v>
      </c>
      <c r="G5" s="9">
        <v>539.7299999999999</v>
      </c>
      <c r="H5" s="5" t="str">
        <f t="shared" si="0"/>
        <v>High Value</v>
      </c>
      <c r="I5" s="5" t="e">
        <f t="shared" ca="1" si="1"/>
        <v>#NAME?</v>
      </c>
      <c r="J5" s="5" t="str">
        <f t="shared" si="2"/>
        <v>Gill(Central)</v>
      </c>
      <c r="K5" s="5">
        <f t="shared" si="3"/>
        <v>53.972999999999992</v>
      </c>
    </row>
    <row r="6" spans="1:11" ht="15.75" customHeight="1" x14ac:dyDescent="0.35">
      <c r="A6" s="6">
        <v>46096</v>
      </c>
      <c r="B6" s="7" t="s">
        <v>20</v>
      </c>
      <c r="C6" s="7" t="s">
        <v>21</v>
      </c>
      <c r="D6" s="7" t="s">
        <v>13</v>
      </c>
      <c r="E6" s="8">
        <v>56</v>
      </c>
      <c r="F6" s="9">
        <v>2.99</v>
      </c>
      <c r="G6" s="10">
        <f>E6*F6</f>
        <v>167.44</v>
      </c>
      <c r="H6" s="5" t="str">
        <f t="shared" si="0"/>
        <v>Standard</v>
      </c>
      <c r="I6" s="5" t="e">
        <f t="shared" ca="1" si="1"/>
        <v>#NAME?</v>
      </c>
      <c r="J6" s="5" t="str">
        <f t="shared" si="2"/>
        <v>Sorvino(West)</v>
      </c>
      <c r="K6" s="5">
        <f t="shared" si="3"/>
        <v>16.744</v>
      </c>
    </row>
    <row r="7" spans="1:11" ht="15.75" customHeight="1" x14ac:dyDescent="0.35">
      <c r="A7" s="6">
        <v>46113</v>
      </c>
      <c r="B7" s="7" t="s">
        <v>11</v>
      </c>
      <c r="C7" s="7" t="s">
        <v>12</v>
      </c>
      <c r="D7" s="7" t="s">
        <v>16</v>
      </c>
      <c r="E7" s="8">
        <v>60</v>
      </c>
      <c r="F7" s="9">
        <v>4.99</v>
      </c>
      <c r="G7" s="9">
        <v>299.40000000000003</v>
      </c>
      <c r="H7" s="5" t="str">
        <f t="shared" si="0"/>
        <v>Standard</v>
      </c>
      <c r="I7" s="5" t="e">
        <f t="shared" ca="1" si="1"/>
        <v>#NAME?</v>
      </c>
      <c r="J7" s="5" t="str">
        <f t="shared" si="2"/>
        <v>Jones(East)</v>
      </c>
      <c r="K7" s="5">
        <f t="shared" si="3"/>
        <v>29.940000000000005</v>
      </c>
    </row>
    <row r="8" spans="1:11" ht="15.75" customHeight="1" x14ac:dyDescent="0.35">
      <c r="A8" s="6">
        <v>46130</v>
      </c>
      <c r="B8" s="7" t="s">
        <v>14</v>
      </c>
      <c r="C8" s="7" t="s">
        <v>22</v>
      </c>
      <c r="D8" s="7" t="s">
        <v>13</v>
      </c>
      <c r="E8" s="8">
        <v>75</v>
      </c>
      <c r="F8" s="9">
        <v>1.99</v>
      </c>
      <c r="G8" s="9">
        <v>149.25</v>
      </c>
      <c r="H8" s="5" t="str">
        <f t="shared" si="0"/>
        <v>Standard</v>
      </c>
      <c r="I8" s="5" t="e">
        <f t="shared" ca="1" si="1"/>
        <v>#NAME?</v>
      </c>
      <c r="J8" s="5" t="str">
        <f t="shared" si="2"/>
        <v>Andrews(Central)</v>
      </c>
      <c r="K8" s="5">
        <f t="shared" si="3"/>
        <v>14.925000000000001</v>
      </c>
    </row>
    <row r="9" spans="1:11" ht="15.75" customHeight="1" x14ac:dyDescent="0.35">
      <c r="A9" s="6">
        <v>46147</v>
      </c>
      <c r="B9" s="7" t="s">
        <v>14</v>
      </c>
      <c r="C9" s="7" t="s">
        <v>17</v>
      </c>
      <c r="D9" s="7" t="s">
        <v>13</v>
      </c>
      <c r="E9" s="8">
        <v>90</v>
      </c>
      <c r="F9" s="9">
        <v>4.99</v>
      </c>
      <c r="G9" s="9">
        <v>449.1</v>
      </c>
      <c r="H9" s="5" t="str">
        <f t="shared" si="0"/>
        <v>Standard</v>
      </c>
      <c r="I9" s="5" t="e">
        <f t="shared" ca="1" si="1"/>
        <v>#NAME?</v>
      </c>
      <c r="J9" s="5" t="str">
        <f t="shared" si="2"/>
        <v>Jardine(Central)</v>
      </c>
      <c r="K9" s="5">
        <f t="shared" si="3"/>
        <v>44.910000000000004</v>
      </c>
    </row>
    <row r="10" spans="1:11" ht="15.75" customHeight="1" x14ac:dyDescent="0.35">
      <c r="A10" s="6">
        <v>46164</v>
      </c>
      <c r="B10" s="7" t="s">
        <v>20</v>
      </c>
      <c r="C10" s="7" t="s">
        <v>23</v>
      </c>
      <c r="D10" s="7" t="s">
        <v>13</v>
      </c>
      <c r="E10" s="8">
        <v>32</v>
      </c>
      <c r="F10" s="9">
        <v>1.99</v>
      </c>
      <c r="G10" s="9">
        <v>63.68</v>
      </c>
      <c r="H10" s="5" t="str">
        <f t="shared" si="0"/>
        <v>Standard</v>
      </c>
      <c r="I10" s="5" t="e">
        <f t="shared" ca="1" si="1"/>
        <v>#NAME?</v>
      </c>
      <c r="J10" s="5" t="str">
        <f t="shared" si="2"/>
        <v>Thompson(West)</v>
      </c>
      <c r="K10" s="5">
        <f t="shared" si="3"/>
        <v>6.3680000000000003</v>
      </c>
    </row>
    <row r="11" spans="1:11" ht="15.75" customHeight="1" x14ac:dyDescent="0.35">
      <c r="A11" s="6">
        <v>46181</v>
      </c>
      <c r="B11" s="7" t="s">
        <v>11</v>
      </c>
      <c r="C11" s="7" t="s">
        <v>12</v>
      </c>
      <c r="D11" s="7" t="s">
        <v>16</v>
      </c>
      <c r="E11" s="8">
        <v>60</v>
      </c>
      <c r="F11" s="9">
        <v>8.99</v>
      </c>
      <c r="G11" s="9">
        <v>539.4</v>
      </c>
      <c r="H11" s="5" t="str">
        <f t="shared" si="0"/>
        <v>High Value</v>
      </c>
      <c r="I11" s="5" t="e">
        <f t="shared" ca="1" si="1"/>
        <v>#NAME?</v>
      </c>
      <c r="J11" s="5" t="str">
        <f t="shared" si="2"/>
        <v>Jones(East)</v>
      </c>
      <c r="K11" s="5">
        <f t="shared" si="3"/>
        <v>53.94</v>
      </c>
    </row>
    <row r="12" spans="1:11" ht="15.75" customHeight="1" x14ac:dyDescent="0.35">
      <c r="A12" s="6">
        <v>46198</v>
      </c>
      <c r="B12" s="7" t="s">
        <v>14</v>
      </c>
      <c r="C12" s="7" t="s">
        <v>24</v>
      </c>
      <c r="D12" s="7" t="s">
        <v>13</v>
      </c>
      <c r="E12" s="8">
        <v>90</v>
      </c>
      <c r="F12" s="9">
        <v>4.99</v>
      </c>
      <c r="G12" s="9">
        <v>449.1</v>
      </c>
      <c r="H12" s="5" t="str">
        <f t="shared" si="0"/>
        <v>Standard</v>
      </c>
      <c r="I12" s="5" t="e">
        <f t="shared" ca="1" si="1"/>
        <v>#NAME?</v>
      </c>
      <c r="J12" s="5" t="str">
        <f t="shared" si="2"/>
        <v>Morgan(Central)</v>
      </c>
      <c r="K12" s="5">
        <f t="shared" si="3"/>
        <v>44.910000000000004</v>
      </c>
    </row>
    <row r="13" spans="1:11" ht="15.75" customHeight="1" x14ac:dyDescent="0.35">
      <c r="A13" s="6">
        <v>46215</v>
      </c>
      <c r="B13" s="7" t="s">
        <v>11</v>
      </c>
      <c r="C13" s="7" t="s">
        <v>25</v>
      </c>
      <c r="D13" s="7" t="s">
        <v>16</v>
      </c>
      <c r="E13" s="8">
        <v>29</v>
      </c>
      <c r="F13" s="9">
        <v>1.99</v>
      </c>
      <c r="G13" s="9">
        <v>57.71</v>
      </c>
      <c r="H13" s="5" t="str">
        <f t="shared" si="0"/>
        <v>Standard</v>
      </c>
      <c r="I13" s="5" t="e">
        <f t="shared" ca="1" si="1"/>
        <v>#NAME?</v>
      </c>
      <c r="J13" s="5" t="str">
        <f t="shared" si="2"/>
        <v>Howard(East)</v>
      </c>
      <c r="K13" s="5">
        <f t="shared" si="3"/>
        <v>5.7710000000000008</v>
      </c>
    </row>
    <row r="14" spans="1:11" ht="15.75" customHeight="1" x14ac:dyDescent="0.35">
      <c r="A14" s="6">
        <v>46232</v>
      </c>
      <c r="B14" s="7" t="s">
        <v>11</v>
      </c>
      <c r="C14" s="7" t="s">
        <v>26</v>
      </c>
      <c r="D14" s="7" t="s">
        <v>16</v>
      </c>
      <c r="E14" s="8">
        <v>81</v>
      </c>
      <c r="F14" s="9">
        <v>19.989999999999998</v>
      </c>
      <c r="G14" s="9">
        <v>1619.1899999999998</v>
      </c>
      <c r="H14" s="5" t="str">
        <f t="shared" si="0"/>
        <v>High Value</v>
      </c>
      <c r="I14" s="5" t="e">
        <f t="shared" ca="1" si="1"/>
        <v>#NAME?</v>
      </c>
      <c r="J14" s="5" t="str">
        <f t="shared" si="2"/>
        <v>Parent(East)</v>
      </c>
      <c r="K14" s="5">
        <f t="shared" si="3"/>
        <v>161.91899999999998</v>
      </c>
    </row>
    <row r="15" spans="1:11" ht="15.75" customHeight="1" x14ac:dyDescent="0.35">
      <c r="A15" s="6">
        <v>46249</v>
      </c>
      <c r="B15" s="7" t="s">
        <v>11</v>
      </c>
      <c r="C15" s="7" t="s">
        <v>12</v>
      </c>
      <c r="D15" s="7" t="s">
        <v>13</v>
      </c>
      <c r="E15" s="8">
        <v>35</v>
      </c>
      <c r="F15" s="9">
        <v>4.99</v>
      </c>
      <c r="G15" s="9">
        <v>174.65</v>
      </c>
      <c r="H15" s="5" t="str">
        <f t="shared" si="0"/>
        <v>Standard</v>
      </c>
      <c r="I15" s="5" t="e">
        <f t="shared" ca="1" si="1"/>
        <v>#NAME?</v>
      </c>
      <c r="J15" s="5" t="str">
        <f t="shared" si="2"/>
        <v>Jones(East)</v>
      </c>
      <c r="K15" s="5">
        <f t="shared" si="3"/>
        <v>17.465</v>
      </c>
    </row>
    <row r="16" spans="1:11" ht="15.75" customHeight="1" x14ac:dyDescent="0.35">
      <c r="A16" s="6">
        <v>46266</v>
      </c>
      <c r="B16" s="7" t="s">
        <v>14</v>
      </c>
      <c r="C16" s="7" t="s">
        <v>27</v>
      </c>
      <c r="D16" s="7" t="s">
        <v>28</v>
      </c>
      <c r="E16" s="8">
        <v>2</v>
      </c>
      <c r="F16" s="9">
        <v>125</v>
      </c>
      <c r="G16" s="9">
        <v>250</v>
      </c>
      <c r="H16" s="5" t="str">
        <f t="shared" si="0"/>
        <v>Standard</v>
      </c>
      <c r="I16" s="5" t="e">
        <f t="shared" ca="1" si="1"/>
        <v>#NAME?</v>
      </c>
      <c r="J16" s="5" t="str">
        <f t="shared" si="2"/>
        <v>Smith(Central)</v>
      </c>
      <c r="K16" s="5">
        <f t="shared" si="3"/>
        <v>25</v>
      </c>
    </row>
    <row r="17" spans="1:11" ht="15.75" customHeight="1" x14ac:dyDescent="0.35">
      <c r="A17" s="6">
        <v>46283</v>
      </c>
      <c r="B17" s="7" t="s">
        <v>11</v>
      </c>
      <c r="C17" s="7" t="s">
        <v>12</v>
      </c>
      <c r="D17" s="7" t="s">
        <v>29</v>
      </c>
      <c r="E17" s="8">
        <v>16</v>
      </c>
      <c r="F17" s="9">
        <v>15.99</v>
      </c>
      <c r="G17" s="10">
        <f>E17*F17</f>
        <v>255.84</v>
      </c>
      <c r="H17" s="5" t="str">
        <f t="shared" si="0"/>
        <v>Standard</v>
      </c>
      <c r="I17" s="5" t="e">
        <f t="shared" ca="1" si="1"/>
        <v>#NAME?</v>
      </c>
      <c r="J17" s="5" t="str">
        <f t="shared" si="2"/>
        <v>Jones(East)</v>
      </c>
      <c r="K17" s="5">
        <f t="shared" si="3"/>
        <v>25.584000000000003</v>
      </c>
    </row>
    <row r="18" spans="1:11" ht="15.75" customHeight="1" x14ac:dyDescent="0.35">
      <c r="A18" s="6">
        <v>46300</v>
      </c>
      <c r="B18" s="7" t="s">
        <v>14</v>
      </c>
      <c r="C18" s="7" t="s">
        <v>24</v>
      </c>
      <c r="D18" s="7" t="s">
        <v>16</v>
      </c>
      <c r="E18" s="8">
        <v>28</v>
      </c>
      <c r="F18" s="9">
        <v>8.99</v>
      </c>
      <c r="G18" s="9">
        <v>251.72</v>
      </c>
      <c r="H18" s="5" t="str">
        <f t="shared" si="0"/>
        <v>Standard</v>
      </c>
      <c r="I18" s="5" t="e">
        <f t="shared" ca="1" si="1"/>
        <v>#NAME?</v>
      </c>
      <c r="J18" s="5" t="str">
        <f t="shared" si="2"/>
        <v>Morgan(Central)</v>
      </c>
      <c r="K18" s="5">
        <f t="shared" si="3"/>
        <v>25.172000000000001</v>
      </c>
    </row>
    <row r="19" spans="1:11" ht="15.75" customHeight="1" x14ac:dyDescent="0.35">
      <c r="A19" s="6">
        <v>46317</v>
      </c>
      <c r="B19" s="7" t="s">
        <v>11</v>
      </c>
      <c r="C19" s="7" t="s">
        <v>12</v>
      </c>
      <c r="D19" s="7" t="s">
        <v>19</v>
      </c>
      <c r="E19" s="8">
        <v>64</v>
      </c>
      <c r="F19" s="9">
        <v>8.99</v>
      </c>
      <c r="G19" s="9">
        <v>575.36</v>
      </c>
      <c r="H19" s="5" t="str">
        <f t="shared" si="0"/>
        <v>High Value</v>
      </c>
      <c r="I19" s="5" t="e">
        <f t="shared" ca="1" si="1"/>
        <v>#NAME?</v>
      </c>
      <c r="J19" s="5" t="str">
        <f t="shared" si="2"/>
        <v>Jones(East)</v>
      </c>
      <c r="K19" s="5">
        <f t="shared" si="3"/>
        <v>57.536000000000001</v>
      </c>
    </row>
    <row r="20" spans="1:11" ht="15.75" customHeight="1" x14ac:dyDescent="0.35">
      <c r="A20" s="6">
        <v>46334</v>
      </c>
      <c r="B20" s="7" t="s">
        <v>11</v>
      </c>
      <c r="C20" s="7" t="s">
        <v>26</v>
      </c>
      <c r="D20" s="7" t="s">
        <v>19</v>
      </c>
      <c r="E20" s="8">
        <v>15</v>
      </c>
      <c r="F20" s="9">
        <v>19.989999999999998</v>
      </c>
      <c r="G20" s="9">
        <v>299.84999999999997</v>
      </c>
      <c r="H20" s="5" t="str">
        <f t="shared" si="0"/>
        <v>Standard</v>
      </c>
      <c r="I20" s="5" t="e">
        <f t="shared" ca="1" si="1"/>
        <v>#NAME?</v>
      </c>
      <c r="J20" s="5" t="str">
        <f t="shared" si="2"/>
        <v>Parent(East)</v>
      </c>
      <c r="K20" s="5">
        <f t="shared" si="3"/>
        <v>29.984999999999999</v>
      </c>
    </row>
    <row r="21" spans="1:11" ht="15.75" customHeight="1" x14ac:dyDescent="0.35">
      <c r="A21" s="6">
        <v>46351</v>
      </c>
      <c r="B21" s="7" t="s">
        <v>14</v>
      </c>
      <c r="C21" s="7" t="s">
        <v>15</v>
      </c>
      <c r="D21" s="7" t="s">
        <v>29</v>
      </c>
      <c r="E21" s="8">
        <v>96</v>
      </c>
      <c r="F21" s="9">
        <v>4.99</v>
      </c>
      <c r="G21" s="9">
        <v>479.04</v>
      </c>
      <c r="H21" s="5" t="str">
        <f t="shared" si="0"/>
        <v>Standard</v>
      </c>
      <c r="I21" s="5" t="e">
        <f t="shared" ca="1" si="1"/>
        <v>#NAME?</v>
      </c>
      <c r="J21" s="5" t="str">
        <f t="shared" si="2"/>
        <v>Kivell(Central)</v>
      </c>
      <c r="K21" s="5">
        <f t="shared" si="3"/>
        <v>47.904000000000003</v>
      </c>
    </row>
    <row r="22" spans="1:11" ht="15.75" customHeight="1" x14ac:dyDescent="0.35">
      <c r="A22" s="6">
        <v>46368</v>
      </c>
      <c r="B22" s="7" t="s">
        <v>14</v>
      </c>
      <c r="C22" s="7" t="s">
        <v>27</v>
      </c>
      <c r="D22" s="7" t="s">
        <v>13</v>
      </c>
      <c r="E22" s="8">
        <v>67</v>
      </c>
      <c r="F22" s="9">
        <v>1.29</v>
      </c>
      <c r="G22" s="9">
        <v>86.43</v>
      </c>
      <c r="H22" s="5" t="str">
        <f t="shared" si="0"/>
        <v>Standard</v>
      </c>
      <c r="I22" s="5" t="e">
        <f t="shared" ca="1" si="1"/>
        <v>#NAME?</v>
      </c>
      <c r="J22" s="5" t="str">
        <f t="shared" si="2"/>
        <v>Smith(Central)</v>
      </c>
      <c r="K22" s="5">
        <f t="shared" si="3"/>
        <v>8.6430000000000007</v>
      </c>
    </row>
    <row r="23" spans="1:11" ht="15.75" customHeight="1" x14ac:dyDescent="0.35">
      <c r="A23" s="6">
        <v>46385</v>
      </c>
      <c r="B23" s="7" t="s">
        <v>11</v>
      </c>
      <c r="C23" s="7" t="s">
        <v>26</v>
      </c>
      <c r="D23" s="7" t="s">
        <v>29</v>
      </c>
      <c r="E23" s="8">
        <v>74</v>
      </c>
      <c r="F23" s="9">
        <v>15.99</v>
      </c>
      <c r="G23" s="9">
        <v>1183.26</v>
      </c>
      <c r="H23" s="5" t="str">
        <f t="shared" si="0"/>
        <v>High Value</v>
      </c>
      <c r="I23" s="5" t="e">
        <f t="shared" ca="1" si="1"/>
        <v>#NAME?</v>
      </c>
      <c r="J23" s="5" t="str">
        <f t="shared" si="2"/>
        <v>Parent(East)</v>
      </c>
      <c r="K23" s="5">
        <f t="shared" si="3"/>
        <v>118.32600000000001</v>
      </c>
    </row>
    <row r="24" spans="1:11" ht="15.75" customHeight="1" x14ac:dyDescent="0.35">
      <c r="A24" s="6">
        <v>46402</v>
      </c>
      <c r="B24" s="7" t="s">
        <v>14</v>
      </c>
      <c r="C24" s="7" t="s">
        <v>18</v>
      </c>
      <c r="D24" s="7" t="s">
        <v>16</v>
      </c>
      <c r="E24" s="8">
        <v>46</v>
      </c>
      <c r="F24" s="9">
        <v>8.99</v>
      </c>
      <c r="G24" s="10">
        <f>E24*F24</f>
        <v>413.54</v>
      </c>
      <c r="H24" s="5" t="str">
        <f t="shared" si="0"/>
        <v>Standard</v>
      </c>
      <c r="I24" s="5" t="e">
        <f t="shared" ca="1" si="1"/>
        <v>#NAME?</v>
      </c>
      <c r="J24" s="5" t="str">
        <f t="shared" si="2"/>
        <v>Gill(Central)</v>
      </c>
      <c r="K24" s="5">
        <f t="shared" si="3"/>
        <v>41.354000000000006</v>
      </c>
    </row>
    <row r="25" spans="1:11" ht="15.75" customHeight="1" x14ac:dyDescent="0.35">
      <c r="A25" s="6">
        <v>46419</v>
      </c>
      <c r="B25" s="7" t="s">
        <v>14</v>
      </c>
      <c r="C25" s="7" t="s">
        <v>27</v>
      </c>
      <c r="D25" s="7" t="s">
        <v>16</v>
      </c>
      <c r="E25" s="8">
        <v>87</v>
      </c>
      <c r="F25" s="9">
        <v>15</v>
      </c>
      <c r="G25" s="9">
        <v>1305</v>
      </c>
      <c r="H25" s="5" t="str">
        <f t="shared" si="0"/>
        <v>High Value</v>
      </c>
      <c r="I25" s="5" t="e">
        <f t="shared" ca="1" si="1"/>
        <v>#NAME?</v>
      </c>
      <c r="J25" s="5" t="str">
        <f t="shared" si="2"/>
        <v>Smith(Central)</v>
      </c>
      <c r="K25" s="5">
        <f t="shared" si="3"/>
        <v>130.5</v>
      </c>
    </row>
    <row r="26" spans="1:11" ht="15.75" customHeight="1" x14ac:dyDescent="0.35">
      <c r="A26" s="6">
        <v>46436</v>
      </c>
      <c r="B26" s="7" t="s">
        <v>11</v>
      </c>
      <c r="C26" s="7" t="s">
        <v>12</v>
      </c>
      <c r="D26" s="7" t="s">
        <v>16</v>
      </c>
      <c r="E26" s="8">
        <v>4</v>
      </c>
      <c r="F26" s="9">
        <v>4.99</v>
      </c>
      <c r="G26" s="9">
        <v>19.96</v>
      </c>
      <c r="H26" s="5" t="str">
        <f t="shared" si="0"/>
        <v>Standard</v>
      </c>
      <c r="I26" s="5" t="e">
        <f t="shared" ca="1" si="1"/>
        <v>#NAME?</v>
      </c>
      <c r="J26" s="5" t="str">
        <f t="shared" si="2"/>
        <v>Jones(East)</v>
      </c>
      <c r="K26" s="5">
        <f t="shared" si="3"/>
        <v>1.9960000000000002</v>
      </c>
    </row>
    <row r="27" spans="1:11" ht="18" x14ac:dyDescent="0.35">
      <c r="A27" s="6">
        <v>46453</v>
      </c>
      <c r="B27" s="7" t="s">
        <v>20</v>
      </c>
      <c r="C27" s="7" t="s">
        <v>21</v>
      </c>
      <c r="D27" s="7" t="s">
        <v>16</v>
      </c>
      <c r="E27" s="8">
        <v>7</v>
      </c>
      <c r="F27" s="9">
        <v>19.989999999999998</v>
      </c>
      <c r="G27" s="9">
        <v>139.92999999999998</v>
      </c>
      <c r="H27" s="5" t="str">
        <f t="shared" si="0"/>
        <v>Standard</v>
      </c>
      <c r="I27" s="5" t="e">
        <f t="shared" ca="1" si="1"/>
        <v>#NAME?</v>
      </c>
      <c r="J27" s="5" t="str">
        <f t="shared" si="2"/>
        <v>Sorvino(West)</v>
      </c>
      <c r="K27" s="5">
        <f t="shared" si="3"/>
        <v>13.992999999999999</v>
      </c>
    </row>
    <row r="28" spans="1:11" ht="18" x14ac:dyDescent="0.35">
      <c r="A28" s="6">
        <v>46470</v>
      </c>
      <c r="B28" s="7" t="s">
        <v>14</v>
      </c>
      <c r="C28" s="7" t="s">
        <v>17</v>
      </c>
      <c r="D28" s="7" t="s">
        <v>29</v>
      </c>
      <c r="E28" s="8">
        <v>50</v>
      </c>
      <c r="F28" s="9">
        <v>4.99</v>
      </c>
      <c r="G28" s="9">
        <v>249.5</v>
      </c>
      <c r="H28" s="5" t="str">
        <f t="shared" si="0"/>
        <v>Standard</v>
      </c>
      <c r="I28" s="5" t="e">
        <f t="shared" ca="1" si="1"/>
        <v>#NAME?</v>
      </c>
      <c r="J28" s="5" t="str">
        <f t="shared" si="2"/>
        <v>Jardine(Central)</v>
      </c>
      <c r="K28" s="5">
        <f t="shared" si="3"/>
        <v>24.950000000000003</v>
      </c>
    </row>
    <row r="29" spans="1:11" ht="18" x14ac:dyDescent="0.35">
      <c r="A29" s="6">
        <v>46487</v>
      </c>
      <c r="B29" s="7" t="s">
        <v>14</v>
      </c>
      <c r="C29" s="7" t="s">
        <v>22</v>
      </c>
      <c r="D29" s="7" t="s">
        <v>13</v>
      </c>
      <c r="E29" s="8">
        <v>66</v>
      </c>
      <c r="F29" s="9">
        <v>1.99</v>
      </c>
      <c r="G29" s="9">
        <v>131.34</v>
      </c>
      <c r="H29" s="5" t="str">
        <f t="shared" si="0"/>
        <v>Standard</v>
      </c>
      <c r="I29" s="5" t="e">
        <f t="shared" ca="1" si="1"/>
        <v>#NAME?</v>
      </c>
      <c r="J29" s="5" t="str">
        <f t="shared" si="2"/>
        <v>Andrews(Central)</v>
      </c>
      <c r="K29" s="5">
        <f t="shared" si="3"/>
        <v>13.134</v>
      </c>
    </row>
    <row r="30" spans="1:11" ht="18" x14ac:dyDescent="0.35">
      <c r="A30" s="6">
        <v>46504</v>
      </c>
      <c r="B30" s="7" t="s">
        <v>11</v>
      </c>
      <c r="C30" s="7" t="s">
        <v>25</v>
      </c>
      <c r="D30" s="7" t="s">
        <v>19</v>
      </c>
      <c r="E30" s="8">
        <v>96</v>
      </c>
      <c r="F30" s="9">
        <v>4.99</v>
      </c>
      <c r="G30" s="9">
        <v>479.04</v>
      </c>
      <c r="H30" s="5" t="str">
        <f t="shared" si="0"/>
        <v>Standard</v>
      </c>
      <c r="I30" s="5" t="e">
        <f t="shared" ca="1" si="1"/>
        <v>#NAME?</v>
      </c>
      <c r="J30" s="5" t="str">
        <f t="shared" si="2"/>
        <v>Howard(East)</v>
      </c>
      <c r="K30" s="5">
        <f t="shared" si="3"/>
        <v>47.904000000000003</v>
      </c>
    </row>
    <row r="31" spans="1:11" ht="18" x14ac:dyDescent="0.35">
      <c r="A31" s="6">
        <v>46521</v>
      </c>
      <c r="B31" s="7" t="s">
        <v>14</v>
      </c>
      <c r="C31" s="7" t="s">
        <v>18</v>
      </c>
      <c r="D31" s="7" t="s">
        <v>13</v>
      </c>
      <c r="E31" s="8">
        <v>53</v>
      </c>
      <c r="F31" s="9">
        <v>1.29</v>
      </c>
      <c r="G31" s="9">
        <v>68.37</v>
      </c>
      <c r="H31" s="5" t="str">
        <f t="shared" si="0"/>
        <v>Standard</v>
      </c>
      <c r="I31" s="5" t="e">
        <f t="shared" ca="1" si="1"/>
        <v>#NAME?</v>
      </c>
      <c r="J31" s="5" t="str">
        <f t="shared" si="2"/>
        <v>Gill(Central)</v>
      </c>
      <c r="K31" s="5">
        <f t="shared" si="3"/>
        <v>6.8370000000000006</v>
      </c>
    </row>
    <row r="32" spans="1:11" ht="18" x14ac:dyDescent="0.35">
      <c r="A32" s="6">
        <v>46538</v>
      </c>
      <c r="B32" s="7" t="s">
        <v>14</v>
      </c>
      <c r="C32" s="7" t="s">
        <v>18</v>
      </c>
      <c r="D32" s="7" t="s">
        <v>16</v>
      </c>
      <c r="E32" s="8">
        <v>80</v>
      </c>
      <c r="F32" s="9">
        <v>8.99</v>
      </c>
      <c r="G32" s="9">
        <v>719.2</v>
      </c>
      <c r="H32" s="5" t="str">
        <f t="shared" si="0"/>
        <v>High Value</v>
      </c>
      <c r="I32" s="5" t="e">
        <f t="shared" ca="1" si="1"/>
        <v>#NAME?</v>
      </c>
      <c r="J32" s="5" t="str">
        <f t="shared" si="2"/>
        <v>Gill(Central)</v>
      </c>
      <c r="K32" s="5">
        <f t="shared" si="3"/>
        <v>71.92</v>
      </c>
    </row>
    <row r="33" spans="1:11" ht="18" x14ac:dyDescent="0.35">
      <c r="A33" s="6">
        <v>46555</v>
      </c>
      <c r="B33" s="7" t="s">
        <v>14</v>
      </c>
      <c r="C33" s="7" t="s">
        <v>15</v>
      </c>
      <c r="D33" s="7" t="s">
        <v>28</v>
      </c>
      <c r="E33" s="8">
        <v>5</v>
      </c>
      <c r="F33" s="9">
        <v>125</v>
      </c>
      <c r="G33" s="9">
        <v>625</v>
      </c>
      <c r="H33" s="5" t="str">
        <f t="shared" si="0"/>
        <v>High Value</v>
      </c>
      <c r="I33" s="5" t="e">
        <f t="shared" ca="1" si="1"/>
        <v>#NAME?</v>
      </c>
      <c r="J33" s="5" t="str">
        <f t="shared" si="2"/>
        <v>Kivell(Central)</v>
      </c>
      <c r="K33" s="5">
        <f t="shared" si="3"/>
        <v>62.5</v>
      </c>
    </row>
    <row r="34" spans="1:11" ht="18" x14ac:dyDescent="0.35">
      <c r="A34" s="6">
        <v>46572</v>
      </c>
      <c r="B34" s="7" t="s">
        <v>11</v>
      </c>
      <c r="C34" s="7" t="s">
        <v>12</v>
      </c>
      <c r="D34" s="7" t="s">
        <v>29</v>
      </c>
      <c r="E34" s="8">
        <v>62</v>
      </c>
      <c r="F34" s="9">
        <v>4.99</v>
      </c>
      <c r="G34" s="9">
        <v>309.38</v>
      </c>
      <c r="H34" s="5" t="str">
        <f t="shared" si="0"/>
        <v>Standard</v>
      </c>
      <c r="I34" s="5" t="e">
        <f t="shared" ca="1" si="1"/>
        <v>#NAME?</v>
      </c>
      <c r="J34" s="5" t="str">
        <f t="shared" si="2"/>
        <v>Jones(East)</v>
      </c>
      <c r="K34" s="5">
        <f t="shared" si="3"/>
        <v>30.938000000000002</v>
      </c>
    </row>
    <row r="35" spans="1:11" ht="18" x14ac:dyDescent="0.35">
      <c r="A35" s="6">
        <v>46589</v>
      </c>
      <c r="B35" s="7" t="s">
        <v>14</v>
      </c>
      <c r="C35" s="7" t="s">
        <v>24</v>
      </c>
      <c r="D35" s="7" t="s">
        <v>29</v>
      </c>
      <c r="E35" s="8">
        <v>55</v>
      </c>
      <c r="F35" s="9">
        <v>12.49</v>
      </c>
      <c r="G35" s="9">
        <v>686.95</v>
      </c>
      <c r="H35" s="5" t="str">
        <f t="shared" si="0"/>
        <v>High Value</v>
      </c>
      <c r="I35" s="5" t="e">
        <f t="shared" ca="1" si="1"/>
        <v>#NAME?</v>
      </c>
      <c r="J35" s="5" t="str">
        <f t="shared" si="2"/>
        <v>Morgan(Central)</v>
      </c>
      <c r="K35" s="5">
        <f t="shared" si="3"/>
        <v>68.695000000000007</v>
      </c>
    </row>
    <row r="36" spans="1:11" ht="18" x14ac:dyDescent="0.35">
      <c r="A36" s="6">
        <v>46606</v>
      </c>
      <c r="B36" s="7" t="s">
        <v>14</v>
      </c>
      <c r="C36" s="7" t="s">
        <v>15</v>
      </c>
      <c r="D36" s="7" t="s">
        <v>29</v>
      </c>
      <c r="E36" s="8">
        <v>42</v>
      </c>
      <c r="F36" s="9">
        <v>23.95</v>
      </c>
      <c r="G36" s="9">
        <v>1005.9</v>
      </c>
      <c r="H36" s="5" t="str">
        <f t="shared" si="0"/>
        <v>High Value</v>
      </c>
      <c r="I36" s="5" t="e">
        <f t="shared" ca="1" si="1"/>
        <v>#NAME?</v>
      </c>
      <c r="J36" s="5" t="str">
        <f t="shared" si="2"/>
        <v>Kivell(Central)</v>
      </c>
      <c r="K36" s="5">
        <f t="shared" si="3"/>
        <v>100.59</v>
      </c>
    </row>
    <row r="37" spans="1:11" ht="18" x14ac:dyDescent="0.35">
      <c r="A37" s="6">
        <v>46623</v>
      </c>
      <c r="B37" s="7" t="s">
        <v>20</v>
      </c>
      <c r="C37" s="7" t="s">
        <v>21</v>
      </c>
      <c r="D37" s="7" t="s">
        <v>28</v>
      </c>
      <c r="E37" s="8">
        <v>3</v>
      </c>
      <c r="F37" s="9">
        <v>275</v>
      </c>
      <c r="G37" s="9">
        <v>825</v>
      </c>
      <c r="H37" s="5" t="str">
        <f t="shared" si="0"/>
        <v>High Value</v>
      </c>
      <c r="I37" s="5" t="e">
        <f t="shared" ca="1" si="1"/>
        <v>#NAME?</v>
      </c>
      <c r="J37" s="5" t="str">
        <f t="shared" si="2"/>
        <v>Sorvino(West)</v>
      </c>
      <c r="K37" s="5">
        <f t="shared" si="3"/>
        <v>82.5</v>
      </c>
    </row>
    <row r="38" spans="1:11" ht="18" x14ac:dyDescent="0.35">
      <c r="A38" s="6">
        <v>46640</v>
      </c>
      <c r="B38" s="7" t="s">
        <v>14</v>
      </c>
      <c r="C38" s="7" t="s">
        <v>18</v>
      </c>
      <c r="D38" s="7" t="s">
        <v>13</v>
      </c>
      <c r="E38" s="8">
        <v>7</v>
      </c>
      <c r="F38" s="9">
        <v>1.29</v>
      </c>
      <c r="G38" s="9">
        <v>9.0300000000000011</v>
      </c>
      <c r="H38" s="5" t="str">
        <f t="shared" si="0"/>
        <v>Standard</v>
      </c>
      <c r="I38" s="5" t="e">
        <f t="shared" ca="1" si="1"/>
        <v>#NAME?</v>
      </c>
      <c r="J38" s="5" t="str">
        <f t="shared" si="2"/>
        <v>Gill(Central)</v>
      </c>
      <c r="K38" s="5">
        <f t="shared" si="3"/>
        <v>0.90300000000000014</v>
      </c>
    </row>
    <row r="39" spans="1:11" ht="18" x14ac:dyDescent="0.35">
      <c r="A39" s="6">
        <v>46657</v>
      </c>
      <c r="B39" s="7" t="s">
        <v>20</v>
      </c>
      <c r="C39" s="7" t="s">
        <v>21</v>
      </c>
      <c r="D39" s="7" t="s">
        <v>19</v>
      </c>
      <c r="E39" s="8">
        <v>76</v>
      </c>
      <c r="F39" s="9">
        <v>1.99</v>
      </c>
      <c r="G39" s="9">
        <v>151.24</v>
      </c>
      <c r="H39" s="5" t="str">
        <f t="shared" si="0"/>
        <v>Standard</v>
      </c>
      <c r="I39" s="5" t="e">
        <f t="shared" ca="1" si="1"/>
        <v>#NAME?</v>
      </c>
      <c r="J39" s="5" t="str">
        <f t="shared" si="2"/>
        <v>Sorvino(West)</v>
      </c>
      <c r="K39" s="5">
        <f t="shared" si="3"/>
        <v>15.124000000000002</v>
      </c>
    </row>
    <row r="40" spans="1:11" ht="18" x14ac:dyDescent="0.35">
      <c r="A40" s="6">
        <v>46674</v>
      </c>
      <c r="B40" s="7" t="s">
        <v>20</v>
      </c>
      <c r="C40" s="7" t="s">
        <v>23</v>
      </c>
      <c r="D40" s="7" t="s">
        <v>16</v>
      </c>
      <c r="E40" s="8">
        <v>57</v>
      </c>
      <c r="F40" s="9">
        <v>19.989999999999998</v>
      </c>
      <c r="G40" s="9">
        <v>1139.4299999999998</v>
      </c>
      <c r="H40" s="5" t="str">
        <f t="shared" si="0"/>
        <v>High Value</v>
      </c>
      <c r="I40" s="5" t="e">
        <f t="shared" ca="1" si="1"/>
        <v>#NAME?</v>
      </c>
      <c r="J40" s="5" t="str">
        <f t="shared" si="2"/>
        <v>Thompson(West)</v>
      </c>
      <c r="K40" s="5">
        <f t="shared" si="3"/>
        <v>113.94299999999998</v>
      </c>
    </row>
    <row r="41" spans="1:11" ht="18" x14ac:dyDescent="0.35">
      <c r="A41" s="6">
        <v>46691</v>
      </c>
      <c r="B41" s="7" t="s">
        <v>14</v>
      </c>
      <c r="C41" s="7" t="s">
        <v>22</v>
      </c>
      <c r="D41" s="7" t="s">
        <v>13</v>
      </c>
      <c r="E41" s="8">
        <v>14</v>
      </c>
      <c r="F41" s="9">
        <v>1.29</v>
      </c>
      <c r="G41" s="9">
        <v>18.060000000000002</v>
      </c>
      <c r="H41" s="5" t="str">
        <f t="shared" si="0"/>
        <v>Standard</v>
      </c>
      <c r="I41" s="5" t="e">
        <f t="shared" ca="1" si="1"/>
        <v>#NAME?</v>
      </c>
      <c r="J41" s="5" t="str">
        <f t="shared" si="2"/>
        <v>Andrews(Central)</v>
      </c>
      <c r="K41" s="5">
        <f t="shared" si="3"/>
        <v>1.8060000000000003</v>
      </c>
    </row>
    <row r="42" spans="1:11" ht="18" x14ac:dyDescent="0.35">
      <c r="A42" s="6">
        <v>46708</v>
      </c>
      <c r="B42" s="7" t="s">
        <v>14</v>
      </c>
      <c r="C42" s="7" t="s">
        <v>17</v>
      </c>
      <c r="D42" s="7" t="s">
        <v>16</v>
      </c>
      <c r="E42" s="8">
        <v>11</v>
      </c>
      <c r="F42" s="9">
        <v>4.99</v>
      </c>
      <c r="G42" s="9">
        <v>54.89</v>
      </c>
      <c r="H42" s="5" t="str">
        <f t="shared" si="0"/>
        <v>Standard</v>
      </c>
      <c r="I42" s="5" t="e">
        <f t="shared" ca="1" si="1"/>
        <v>#NAME?</v>
      </c>
      <c r="J42" s="5" t="str">
        <f t="shared" si="2"/>
        <v>Jardine(Central)</v>
      </c>
      <c r="K42" s="5">
        <f t="shared" si="3"/>
        <v>5.4890000000000008</v>
      </c>
    </row>
    <row r="43" spans="1:11" ht="18" x14ac:dyDescent="0.35">
      <c r="A43" s="6">
        <v>46725</v>
      </c>
      <c r="B43" s="7" t="s">
        <v>14</v>
      </c>
      <c r="C43" s="7" t="s">
        <v>17</v>
      </c>
      <c r="D43" s="7" t="s">
        <v>16</v>
      </c>
      <c r="E43" s="8">
        <v>94</v>
      </c>
      <c r="F43" s="9">
        <v>19.989999999999998</v>
      </c>
      <c r="G43" s="9">
        <v>1879.06</v>
      </c>
      <c r="H43" s="5" t="str">
        <f t="shared" si="0"/>
        <v>High Value</v>
      </c>
      <c r="I43" s="5" t="e">
        <f t="shared" ca="1" si="1"/>
        <v>#NAME?</v>
      </c>
      <c r="J43" s="5" t="str">
        <f t="shared" si="2"/>
        <v>Jardine(Central)</v>
      </c>
      <c r="K43" s="5">
        <f t="shared" si="3"/>
        <v>187.90600000000001</v>
      </c>
    </row>
    <row r="44" spans="1:11" ht="18" x14ac:dyDescent="0.35">
      <c r="A44" s="6">
        <v>46742</v>
      </c>
      <c r="B44" s="7" t="s">
        <v>14</v>
      </c>
      <c r="C44" s="7" t="s">
        <v>22</v>
      </c>
      <c r="D44" s="7" t="s">
        <v>16</v>
      </c>
      <c r="E44" s="8">
        <v>28</v>
      </c>
      <c r="F44" s="9">
        <v>4.99</v>
      </c>
      <c r="G44" s="9">
        <v>139.72</v>
      </c>
      <c r="H44" s="5" t="str">
        <f t="shared" si="0"/>
        <v>Standard</v>
      </c>
      <c r="I44" s="5" t="e">
        <f t="shared" ca="1" si="1"/>
        <v>#NAME?</v>
      </c>
      <c r="J44" s="5" t="str">
        <f t="shared" si="2"/>
        <v>Andrews(Central)</v>
      </c>
      <c r="K44" s="5">
        <f t="shared" si="3"/>
        <v>13.972000000000001</v>
      </c>
    </row>
    <row r="49" spans="1:2" ht="13.2" x14ac:dyDescent="0.25">
      <c r="A49" s="5" t="s">
        <v>30</v>
      </c>
      <c r="B49" s="5" t="s">
        <v>31</v>
      </c>
    </row>
    <row r="50" spans="1:2" ht="13.2" x14ac:dyDescent="0.25">
      <c r="A50" s="5">
        <v>1</v>
      </c>
      <c r="B50" s="5">
        <f>COUNTBLANK(G2:G44)</f>
        <v>0</v>
      </c>
    </row>
    <row r="51" spans="1:2" ht="13.2" x14ac:dyDescent="0.25">
      <c r="A51" s="5">
        <v>2</v>
      </c>
      <c r="B51" s="5">
        <f>COUNTA(G2:G44)</f>
        <v>43</v>
      </c>
    </row>
    <row r="52" spans="1:2" ht="13.2" x14ac:dyDescent="0.25">
      <c r="A52" s="5">
        <v>3</v>
      </c>
      <c r="B52" s="5" t="s">
        <v>32</v>
      </c>
    </row>
    <row r="53" spans="1:2" ht="13.2" x14ac:dyDescent="0.25">
      <c r="A53" s="5">
        <v>4</v>
      </c>
      <c r="B53" s="11">
        <f>SUM(G2:G44)</f>
        <v>19627.880000000008</v>
      </c>
    </row>
    <row r="54" spans="1:2" ht="13.2" x14ac:dyDescent="0.25">
      <c r="A54" s="5">
        <v>5</v>
      </c>
      <c r="B54" s="5">
        <f>COUNT(A2:A44)</f>
        <v>43</v>
      </c>
    </row>
    <row r="55" spans="1:2" ht="13.2" x14ac:dyDescent="0.25">
      <c r="A55" s="5">
        <v>6</v>
      </c>
      <c r="B55" s="11">
        <f>AVERAGE(F2:F44)</f>
        <v>20.308604651162792</v>
      </c>
    </row>
    <row r="56" spans="1:2" ht="13.2" x14ac:dyDescent="0.25">
      <c r="A56" s="5">
        <v>7</v>
      </c>
      <c r="B56" s="5">
        <f>MAX(E2:E44)</f>
        <v>96</v>
      </c>
    </row>
    <row r="57" spans="1:2" ht="13.2" x14ac:dyDescent="0.25">
      <c r="A57" s="5">
        <v>8</v>
      </c>
      <c r="B57" s="11">
        <f>MIN(G2:G44)</f>
        <v>9.0300000000000011</v>
      </c>
    </row>
    <row r="58" spans="1:2" ht="13.2" x14ac:dyDescent="0.25">
      <c r="A58" s="5">
        <v>9</v>
      </c>
      <c r="B58" s="5">
        <f>COUNTIF(D2:D44,"Pencil")</f>
        <v>13</v>
      </c>
    </row>
    <row r="59" spans="1:2" ht="13.2" x14ac:dyDescent="0.25">
      <c r="A59" s="5">
        <v>10</v>
      </c>
      <c r="B59" s="5">
        <f>COUNTIF(B2:B44,"Central")</f>
        <v>24</v>
      </c>
    </row>
    <row r="60" spans="1:2" ht="13.2" x14ac:dyDescent="0.25">
      <c r="A60" s="5">
        <v>11</v>
      </c>
      <c r="B60" s="5">
        <f>SUMIF(B2:B44,"East",G2:G44)</f>
        <v>6002.09</v>
      </c>
    </row>
    <row r="61" spans="1:2" ht="13.2" x14ac:dyDescent="0.25">
      <c r="A61" s="5">
        <v>12</v>
      </c>
      <c r="B61" s="5">
        <f>SUMIF(C2:C44,"Jones",E2:E44)</f>
        <v>396</v>
      </c>
    </row>
    <row r="62" spans="1:2" ht="13.2" x14ac:dyDescent="0.25">
      <c r="A62" s="5">
        <v>13</v>
      </c>
      <c r="B62" s="5">
        <f>AVERAGEIF(D2:D44,"Binder",G2:G44)</f>
        <v>638.51</v>
      </c>
    </row>
    <row r="63" spans="1:2" ht="13.2" x14ac:dyDescent="0.25">
      <c r="A63" s="5">
        <v>14</v>
      </c>
      <c r="B63" s="5">
        <f>COUNTIFS(C2:C44,"Jones",B2:B44,"East")</f>
        <v>8</v>
      </c>
    </row>
    <row r="64" spans="1:2" ht="13.2" x14ac:dyDescent="0.25">
      <c r="A64" s="5">
        <v>15</v>
      </c>
      <c r="B64" s="5">
        <f>SUMIFS(G2:G44,D2:D44,"Pencil",C2:C44,"Jardine")</f>
        <v>628.74</v>
      </c>
    </row>
    <row r="65" spans="1:2" ht="13.2" x14ac:dyDescent="0.25">
      <c r="A65" s="5">
        <v>16</v>
      </c>
      <c r="B65" s="5" t="s">
        <v>33</v>
      </c>
    </row>
    <row r="66" spans="1:2" ht="13.2" x14ac:dyDescent="0.25">
      <c r="A66" s="5">
        <v>17</v>
      </c>
      <c r="B66" s="5" t="s">
        <v>33</v>
      </c>
    </row>
    <row r="67" spans="1:2" ht="13.2" x14ac:dyDescent="0.25">
      <c r="A67" s="5">
        <v>18</v>
      </c>
      <c r="B67" s="5" t="s">
        <v>33</v>
      </c>
    </row>
    <row r="68" spans="1:2" ht="13.2" x14ac:dyDescent="0.25">
      <c r="A68" s="5">
        <v>19</v>
      </c>
    </row>
    <row r="69" spans="1:2" ht="13.2" x14ac:dyDescent="0.25">
      <c r="A69" s="5">
        <v>20</v>
      </c>
      <c r="B69" s="5">
        <f>SUMIF(A2:A44,"09-02-2026",G2:G44)</f>
        <v>179.64000000000001</v>
      </c>
    </row>
    <row r="70" spans="1:2" ht="13.2" x14ac:dyDescent="0.25">
      <c r="A70" s="5">
        <v>21</v>
      </c>
      <c r="B70" s="5">
        <f>COUNTIFS(A:A,"&gt;=01/01/2026",A:A,"&lt;=31/01/2026")</f>
        <v>2</v>
      </c>
    </row>
    <row r="71" spans="1:2" ht="13.2" x14ac:dyDescent="0.25">
      <c r="A71" s="5">
        <v>22</v>
      </c>
      <c r="B71" s="5" t="str">
        <f>UPPER(D2)</f>
        <v>PENCIL</v>
      </c>
    </row>
    <row r="72" spans="1:2" ht="13.2" x14ac:dyDescent="0.25">
      <c r="A72" s="5">
        <v>23</v>
      </c>
      <c r="B72" s="5">
        <f>LEN(C3)</f>
        <v>6</v>
      </c>
    </row>
    <row r="73" spans="1:2" ht="13.2" x14ac:dyDescent="0.25">
      <c r="A73" s="5">
        <v>24</v>
      </c>
      <c r="B73" s="5">
        <f>COUNTIFS(B2:B44,"Central",D2:D44,"Pencil")</f>
        <v>9</v>
      </c>
    </row>
    <row r="74" spans="1:2" ht="13.2" x14ac:dyDescent="0.25">
      <c r="A74" s="5">
        <v>25</v>
      </c>
      <c r="B74" s="5">
        <f>ROUND(AVERAGE(F:F),1)</f>
        <v>20.3</v>
      </c>
    </row>
    <row r="75" spans="1:2" ht="13.2" x14ac:dyDescent="0.25">
      <c r="A75" s="5">
        <v>26</v>
      </c>
      <c r="B75" s="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Abhirami MS</cp:lastModifiedBy>
  <dcterms:modified xsi:type="dcterms:W3CDTF">2026-09-06T15:26:58Z</dcterms:modified>
</cp:coreProperties>
</file>